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xyra\Documents\myDeckWishlist_Versions\"/>
    </mc:Choice>
  </mc:AlternateContent>
  <bookViews>
    <workbookView xWindow="0" yWindow="0" windowWidth="21600" windowHeight="11680"/>
  </bookViews>
  <sheets>
    <sheet name="Deck List" sheetId="1" r:id="rId1"/>
    <sheet name="Cost Overview" sheetId="3" r:id="rId2"/>
  </sheets>
  <calcPr calcId="162913"/>
  <pivotCaches>
    <pivotCache cacheId="6" r:id="rId3"/>
    <pivotCache cacheId="11" r:id="rId4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4" i="1" l="1"/>
  <c r="H5" i="1"/>
  <c r="H6" i="1"/>
  <c r="H9" i="1"/>
  <c r="H11" i="1"/>
  <c r="H16" i="1"/>
  <c r="H22" i="1"/>
  <c r="H26" i="1"/>
  <c r="H30" i="1"/>
  <c r="H31" i="1"/>
  <c r="H32" i="1"/>
  <c r="H33" i="1"/>
  <c r="H35" i="1"/>
  <c r="H36" i="1"/>
  <c r="H37" i="1"/>
  <c r="G30" i="1" l="1"/>
  <c r="G31" i="1"/>
  <c r="G32" i="1"/>
  <c r="G33" i="1"/>
  <c r="G34" i="1"/>
  <c r="H34" i="1" s="1"/>
  <c r="G35" i="1"/>
  <c r="G36" i="1"/>
  <c r="G37" i="1"/>
  <c r="G4" i="1"/>
  <c r="G5" i="1"/>
  <c r="G6" i="1"/>
  <c r="G7" i="1"/>
  <c r="H7" i="1" s="1"/>
  <c r="G8" i="1"/>
  <c r="H8" i="1" s="1"/>
  <c r="G9" i="1"/>
  <c r="G10" i="1"/>
  <c r="H10" i="1" s="1"/>
  <c r="G11" i="1"/>
  <c r="G12" i="1"/>
  <c r="H12" i="1" s="1"/>
  <c r="G13" i="1"/>
  <c r="H13" i="1" s="1"/>
  <c r="G14" i="1"/>
  <c r="H14" i="1" s="1"/>
  <c r="G15" i="1"/>
  <c r="H15" i="1" s="1"/>
  <c r="G16" i="1"/>
  <c r="G17" i="1"/>
  <c r="H17" i="1" s="1"/>
  <c r="G18" i="1"/>
  <c r="H18" i="1" s="1"/>
  <c r="G19" i="1"/>
  <c r="H19" i="1" s="1"/>
  <c r="G20" i="1"/>
  <c r="H20" i="1" s="1"/>
  <c r="G21" i="1"/>
  <c r="H21" i="1" s="1"/>
  <c r="G22" i="1"/>
  <c r="G23" i="1"/>
  <c r="H23" i="1" s="1"/>
  <c r="G24" i="1"/>
  <c r="H24" i="1" s="1"/>
  <c r="G25" i="1"/>
  <c r="H25" i="1" s="1"/>
  <c r="G26" i="1"/>
  <c r="G27" i="1"/>
  <c r="H27" i="1" s="1"/>
  <c r="P16" i="1" l="1"/>
  <c r="P15" i="1"/>
  <c r="P17" i="1" l="1"/>
  <c r="O16" i="1"/>
  <c r="O15" i="1"/>
  <c r="O17" i="1" l="1"/>
</calcChain>
</file>

<file path=xl/sharedStrings.xml><?xml version="1.0" encoding="utf-8"?>
<sst xmlns="http://schemas.openxmlformats.org/spreadsheetml/2006/main" count="135" uniqueCount="54">
  <si>
    <t>Botanical Sanctum</t>
  </si>
  <si>
    <t>Breeding Pool</t>
  </si>
  <si>
    <t>Cavern of Souls</t>
  </si>
  <si>
    <t>Collected Company</t>
  </si>
  <si>
    <t>Drogskol Captain</t>
  </si>
  <si>
    <t>Flooded Strand</t>
  </si>
  <si>
    <t>Forest</t>
  </si>
  <si>
    <t>Gavony Township</t>
  </si>
  <si>
    <t>Geist of Saint Traft</t>
  </si>
  <si>
    <t>Hallowed Fountain</t>
  </si>
  <si>
    <t>Island</t>
  </si>
  <si>
    <t>Mausoleum Wanderer</t>
  </si>
  <si>
    <t>Misty Rainforest</t>
  </si>
  <si>
    <t>Noble Hierarch</t>
  </si>
  <si>
    <t>Path to Exile</t>
  </si>
  <si>
    <t>Phantasmal Image</t>
  </si>
  <si>
    <t>Plains</t>
  </si>
  <si>
    <t>Rattlechains</t>
  </si>
  <si>
    <t>Razorverge Thicket</t>
  </si>
  <si>
    <t>Selfless Spirit</t>
  </si>
  <si>
    <t>Spell Queller</t>
  </si>
  <si>
    <t>Steel of the Godhead</t>
  </si>
  <si>
    <t>Temple Garden</t>
  </si>
  <si>
    <t>Windswept Heath</t>
  </si>
  <si>
    <t>Blessed Alliance</t>
  </si>
  <si>
    <t>Engineered Explosives</t>
  </si>
  <si>
    <t>Qasali Pridemage</t>
  </si>
  <si>
    <t>Rest in Peace</t>
  </si>
  <si>
    <t>Rhox War Monk</t>
  </si>
  <si>
    <t>Spellskite</t>
  </si>
  <si>
    <t>Stony Silence</t>
  </si>
  <si>
    <t>Name</t>
  </si>
  <si>
    <t>Price</t>
  </si>
  <si>
    <t>Type</t>
  </si>
  <si>
    <t>Land</t>
  </si>
  <si>
    <t>Instant</t>
  </si>
  <si>
    <t>Creature</t>
  </si>
  <si>
    <t>Enchantment</t>
  </si>
  <si>
    <t>Artifact</t>
  </si>
  <si>
    <t>Sideboard</t>
  </si>
  <si>
    <t>Maindeck</t>
  </si>
  <si>
    <t>No#</t>
  </si>
  <si>
    <t>Price per Card</t>
  </si>
  <si>
    <t>Total Price</t>
  </si>
  <si>
    <t>Maindeck Total</t>
  </si>
  <si>
    <t>Sideboard Total</t>
  </si>
  <si>
    <t>Complete Deck</t>
  </si>
  <si>
    <t>Row Labels</t>
  </si>
  <si>
    <t>Grand Total</t>
  </si>
  <si>
    <t>Cards</t>
  </si>
  <si>
    <t>How many I already got</t>
  </si>
  <si>
    <t>How many I still need</t>
  </si>
  <si>
    <t>Sum of Total Price</t>
  </si>
  <si>
    <t>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</si>
</sst>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#,##0.00\ &quot;€&quot;"/>
    <numFmt numFmtId="165" formatCode="#,##0.00\ \€"/>
  </numFmts>
  <fonts count="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Segoe UI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 tint="0.34998626667073579"/>
        <bgColor indexed="64"/>
      </patternFill>
    </fill>
  </fills>
  <borders count="11">
    <border>
      <left/>
      <right/>
      <top/>
      <bottom/>
      <diagonal/>
    </border>
    <border>
      <left style="medium">
        <color auto="1"/>
      </left>
      <right style="double">
        <color auto="1"/>
      </right>
      <top style="double">
        <color auto="1"/>
      </top>
      <bottom style="medium">
        <color auto="1"/>
      </bottom>
      <diagonal/>
    </border>
    <border>
      <left style="double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double">
        <color auto="1"/>
      </right>
      <top style="medium">
        <color auto="1"/>
      </top>
      <bottom style="medium">
        <color auto="1"/>
      </bottom>
      <diagonal/>
    </border>
    <border>
      <left style="double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 style="medium">
        <color auto="1"/>
      </left>
      <right style="double">
        <color auto="1"/>
      </right>
      <top style="medium">
        <color auto="1"/>
      </top>
      <bottom style="double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/>
      <right style="medium">
        <color auto="1"/>
      </right>
      <top style="double">
        <color auto="1"/>
      </top>
      <bottom style="medium">
        <color auto="1"/>
      </bottom>
      <diagonal/>
    </border>
    <border>
      <left style="double">
        <color auto="1"/>
      </left>
      <right style="medium">
        <color auto="1"/>
      </right>
      <top/>
      <bottom style="medium">
        <color auto="1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3" fillId="0" borderId="0" xfId="0" applyFont="1"/>
    <xf numFmtId="16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2" fillId="0" borderId="3" xfId="0" applyFont="1" applyBorder="1"/>
    <xf numFmtId="164" fontId="2" fillId="2" borderId="6" xfId="0" applyNumberFormat="1" applyFont="1" applyFill="1" applyBorder="1"/>
    <xf numFmtId="0" fontId="2" fillId="2" borderId="6" xfId="0" applyFont="1" applyFill="1" applyBorder="1"/>
    <xf numFmtId="164" fontId="2" fillId="2" borderId="7" xfId="0" applyNumberFormat="1" applyFont="1" applyFill="1" applyBorder="1"/>
    <xf numFmtId="0" fontId="0" fillId="0" borderId="8" xfId="0" applyBorder="1"/>
    <xf numFmtId="0" fontId="2" fillId="0" borderId="5" xfId="0" applyFont="1" applyBorder="1"/>
    <xf numFmtId="0" fontId="1" fillId="3" borderId="9" xfId="0" applyFont="1" applyFill="1" applyBorder="1"/>
    <xf numFmtId="0" fontId="1" fillId="3" borderId="1" xfId="0" applyFont="1" applyFill="1" applyBorder="1"/>
    <xf numFmtId="0" fontId="1" fillId="3" borderId="10" xfId="0" applyFont="1" applyFill="1" applyBorder="1"/>
    <xf numFmtId="0" fontId="1" fillId="3" borderId="2" xfId="0" applyFont="1" applyFill="1" applyBorder="1"/>
    <xf numFmtId="0" fontId="1" fillId="3" borderId="4" xfId="0" applyFont="1" applyFill="1" applyBorder="1"/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165" fontId="0" fillId="0" borderId="0" xfId="0" applyNumberFormat="1"/>
    <xf numFmtId="0" fontId="4" fillId="0" borderId="0" xfId="0" applyFont="1"/>
  </cellXfs>
  <cellStyles count="1">
    <cellStyle name="Normal" xfId="0" builtinId="0"/>
  </cellStyles>
  <dxfs count="16">
    <dxf>
      <numFmt numFmtId="164" formatCode="#,##0.00\ &quot;€&quot;"/>
    </dxf>
    <dxf>
      <numFmt numFmtId="164" formatCode="#,##0.00\ &quot;€&quot;"/>
    </dxf>
    <dxf>
      <numFmt numFmtId="0" formatCode="General"/>
    </dxf>
    <dxf>
      <numFmt numFmtId="164" formatCode="#,##0.00\ &quot;€&quot;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/>
      </font>
    </dxf>
    <dxf>
      <font>
        <b/>
        <i/>
      </font>
    </dxf>
    <dxf>
      <font>
        <b/>
        <i/>
      </font>
    </dxf>
    <dxf>
      <numFmt numFmtId="164" formatCode="#,##0.00\ &quot;€&quot;"/>
    </dxf>
    <dxf>
      <numFmt numFmtId="164" formatCode="#,##0.00\ &quot;€&quot;"/>
    </dxf>
    <dxf>
      <numFmt numFmtId="0" formatCode="General"/>
    </dxf>
    <dxf>
      <numFmt numFmtId="164" formatCode="#,##0.00\ &quot;€&quot;"/>
    </dxf>
    <dxf>
      <font>
        <b/>
        <i/>
      </font>
    </dxf>
    <dxf>
      <font>
        <b/>
        <i/>
      </font>
    </dxf>
    <dxf>
      <font>
        <b/>
        <i/>
      </font>
    </dxf>
    <dxf>
      <font>
        <b/>
        <i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pivotCacheDefinition" Target="pivotCache/pivotCacheDefinition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2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Radio" firstButton="1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Radio" checked="Checked" lockText="1" noThreeD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71435</xdr:colOff>
      <xdr:row>2</xdr:row>
      <xdr:rowOff>23814</xdr:rowOff>
    </xdr:from>
    <xdr:to>
      <xdr:col>17</xdr:col>
      <xdr:colOff>55563</xdr:colOff>
      <xdr:row>19</xdr:row>
      <xdr:rowOff>47625</xdr:rowOff>
    </xdr:to>
    <xdr:sp macro="" textlink="">
      <xdr:nvSpPr>
        <xdr:cNvPr id="4" name="Rounded Rectangle 3"/>
        <xdr:cNvSpPr/>
      </xdr:nvSpPr>
      <xdr:spPr>
        <a:xfrm>
          <a:off x="9056685" y="444502"/>
          <a:ext cx="4445003" cy="3190873"/>
        </a:xfrm>
        <a:prstGeom prst="roundRect">
          <a:avLst/>
        </a:prstGeom>
        <a:blipFill dpi="0" rotWithShape="1">
          <a:blip xmlns:r="http://schemas.openxmlformats.org/officeDocument/2006/relationships" r:embed="rId1">
            <a:alphaModFix amt="50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336550</xdr:colOff>
          <xdr:row>9</xdr:row>
          <xdr:rowOff>50800</xdr:rowOff>
        </xdr:from>
        <xdr:to>
          <xdr:col>13</xdr:col>
          <xdr:colOff>152400</xdr:colOff>
          <xdr:row>10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Calculate MKM Prices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10</xdr:col>
      <xdr:colOff>230201</xdr:colOff>
      <xdr:row>3</xdr:row>
      <xdr:rowOff>47624</xdr:rowOff>
    </xdr:from>
    <xdr:to>
      <xdr:col>13</xdr:col>
      <xdr:colOff>373062</xdr:colOff>
      <xdr:row>8</xdr:row>
      <xdr:rowOff>126998</xdr:rowOff>
    </xdr:to>
    <xdr:grpSp>
      <xdr:nvGrpSpPr>
        <xdr:cNvPr id="7" name="Group 6"/>
        <xdr:cNvGrpSpPr/>
      </xdr:nvGrpSpPr>
      <xdr:grpSpPr>
        <a:xfrm>
          <a:off x="10866451" y="650874"/>
          <a:ext cx="1643049" cy="992187"/>
          <a:chOff x="10945826" y="3873499"/>
          <a:chExt cx="1611320" cy="992187"/>
        </a:xfrm>
        <a:solidFill>
          <a:schemeClr val="lt1">
            <a:alpha val="68000"/>
          </a:schemeClr>
        </a:solidFill>
      </xdr:grpSpPr>
      <xdr:sp macro="" textlink="">
        <xdr:nvSpPr>
          <xdr:cNvPr id="3" name="Rounded Rectangle 2"/>
          <xdr:cNvSpPr/>
        </xdr:nvSpPr>
        <xdr:spPr>
          <a:xfrm>
            <a:off x="10945826" y="3873499"/>
            <a:ext cx="1468438" cy="992187"/>
          </a:xfrm>
          <a:prstGeom prst="roundRect">
            <a:avLst/>
          </a:prstGeom>
          <a:grpFill/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6" name="Option Button 2" hidden="1">
                <a:extLst>
                  <a:ext uri="{63B3BB69-23CF-44E3-9099-C40C66FF867C}">
                    <a14:compatExt spid="_x0000_s1026"/>
                  </a:ext>
                </a:extLst>
              </xdr:cNvPr>
              <xdr:cNvSpPr/>
            </xdr:nvSpPr>
            <xdr:spPr bwMode="auto">
              <a:xfrm>
                <a:off x="11036321" y="4105275"/>
                <a:ext cx="1520825" cy="284162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32004" rIns="0" bIns="32004" anchor="ctr" upright="1"/>
              <a:lstStyle/>
              <a:p>
                <a:pPr algn="l" rtl="0">
                  <a:defRPr sz="1000"/>
                </a:pPr>
                <a:r>
                  <a:rPr lang="de-DE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Maindeck only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7" name="Option Button 3" hidden="1">
                <a:extLst>
                  <a:ext uri="{63B3BB69-23CF-44E3-9099-C40C66FF867C}">
                    <a14:compatExt spid="_x0000_s1027"/>
                  </a:ext>
                </a:extLst>
              </xdr:cNvPr>
              <xdr:cNvSpPr/>
            </xdr:nvSpPr>
            <xdr:spPr bwMode="auto">
              <a:xfrm>
                <a:off x="11029966" y="4297364"/>
                <a:ext cx="1520825" cy="2825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32004" rIns="0" bIns="32004" anchor="ctr" upright="1"/>
              <a:lstStyle/>
              <a:p>
                <a:pPr algn="l" rtl="0">
                  <a:defRPr sz="1000"/>
                </a:pPr>
                <a:r>
                  <a:rPr lang="de-DE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Sideboard only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" name="Option Button 4" hidden="1">
                <a:extLst>
                  <a:ext uri="{63B3BB69-23CF-44E3-9099-C40C66FF867C}">
                    <a14:compatExt spid="_x0000_s1028"/>
                  </a:ext>
                </a:extLst>
              </xdr:cNvPr>
              <xdr:cNvSpPr/>
            </xdr:nvSpPr>
            <xdr:spPr bwMode="auto">
              <a:xfrm>
                <a:off x="11031554" y="4471987"/>
                <a:ext cx="1520825" cy="2825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32004" rIns="0" bIns="32004" anchor="ctr" upright="1"/>
              <a:lstStyle/>
              <a:p>
                <a:pPr algn="l" rtl="0">
                  <a:defRPr sz="1000"/>
                </a:pPr>
                <a:r>
                  <a:rPr lang="de-DE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Maindeck and Sideboard</a:t>
                </a:r>
              </a:p>
            </xdr:txBody>
          </xdr:sp>
        </mc:Choice>
        <mc:Fallback/>
      </mc:AlternateContent>
      <xdr:sp macro="" textlink="">
        <xdr:nvSpPr>
          <xdr:cNvPr id="5" name="TextBox 4"/>
          <xdr:cNvSpPr txBox="1"/>
        </xdr:nvSpPr>
        <xdr:spPr>
          <a:xfrm>
            <a:off x="10969639" y="3929057"/>
            <a:ext cx="1285875" cy="254005"/>
          </a:xfrm>
          <a:prstGeom prst="rect">
            <a:avLst/>
          </a:prstGeom>
          <a:grp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100"/>
              <a:t>Gather prices for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749300</xdr:colOff>
          <xdr:row>2</xdr:row>
          <xdr:rowOff>6350</xdr:rowOff>
        </xdr:from>
        <xdr:to>
          <xdr:col>7</xdr:col>
          <xdr:colOff>241300</xdr:colOff>
          <xdr:row>3</xdr:row>
          <xdr:rowOff>127000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Refresh Pivot Tables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xyra" refreshedDate="42766.73466574074" createdVersion="6" refreshedVersion="6" minRefreshableVersion="3" recordCount="24">
  <cacheSource type="worksheet">
    <worksheetSource name="Maindeck"/>
  </cacheSource>
  <cacheFields count="8">
    <cacheField name="No#" numFmtId="0">
      <sharedItems containsSemiMixedTypes="0" containsString="0" containsNumber="1" containsInteger="1" minValue="1" maxValue="4"/>
    </cacheField>
    <cacheField name="Name" numFmtId="0">
      <sharedItems count="25">
        <s v="Botanical Sanctum"/>
        <s v="Breeding Pool"/>
        <s v="Cavern of Souls"/>
        <s v="Collected Company"/>
        <s v="Drogskol Captain"/>
        <s v="Flooded Strand"/>
        <s v="Forest"/>
        <s v="Gavony Township"/>
        <s v="Geist of Saint Traft"/>
        <s v="Hallowed Fountain"/>
        <s v="Island"/>
        <s v="Mausoleum Wanderer"/>
        <s v="Misty Rainforest"/>
        <s v="Noble Hierarch"/>
        <s v="Path to Exile"/>
        <s v="Phantasmal Image"/>
        <s v="Plains"/>
        <s v="Rattlechains"/>
        <s v="Razorverge Thicket"/>
        <s v="Selfless Spirit"/>
        <s v="Spell Queller"/>
        <s v="Steel of the Godhead"/>
        <s v="Temple Garden"/>
        <s v="Windswept Heath"/>
        <s v="Birds of Paradise" u="1"/>
      </sharedItems>
    </cacheField>
    <cacheField name="Type" numFmtId="0">
      <sharedItems count="4">
        <s v="Land"/>
        <s v="Instant"/>
        <s v="Creature"/>
        <s v="Enchantment"/>
      </sharedItems>
    </cacheField>
    <cacheField name="How many I already got" numFmtId="0">
      <sharedItems containsSemiMixedTypes="0" containsString="0" containsNumber="1" containsInteger="1" minValue="0" maxValue="4"/>
    </cacheField>
    <cacheField name="Price per Card" numFmtId="164">
      <sharedItems containsSemiMixedTypes="0" containsString="0" containsNumber="1" minValue="0.01" maxValue="41.5"/>
    </cacheField>
    <cacheField name="How many I still need" numFmtId="0">
      <sharedItems containsSemiMixedTypes="0" containsString="0" containsNumber="1" containsInteger="1" minValue="0" maxValue="4" count="5">
        <n v="2"/>
        <n v="1"/>
        <n v="0"/>
        <n v="4"/>
        <n v="3"/>
      </sharedItems>
    </cacheField>
    <cacheField name="Total Price" numFmtId="164">
      <sharedItems containsSemiMixedTypes="0" containsString="0" containsNumber="1" minValue="0" maxValue="103.5"/>
    </cacheField>
    <cacheField name="-" numFmtId="16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xyra" refreshedDate="42766.734666203702" createdVersion="6" refreshedVersion="6" minRefreshableVersion="3" recordCount="8">
  <cacheSource type="worksheet">
    <worksheetSource name="Sideboard"/>
  </cacheSource>
  <cacheFields count="8">
    <cacheField name="No#" numFmtId="0">
      <sharedItems containsSemiMixedTypes="0" containsString="0" containsNumber="1" containsInteger="1" minValue="1" maxValue="3"/>
    </cacheField>
    <cacheField name="Name" numFmtId="0">
      <sharedItems count="9">
        <s v="Blessed Alliance"/>
        <s v="Engineered Explosives"/>
        <s v="Path to Exile"/>
        <s v="Qasali Pridemage"/>
        <s v="Rest in Peace"/>
        <s v="Rhox War Monk"/>
        <s v="Spellskite"/>
        <s v="Stony Silence"/>
        <s v="Bressed Alliance" u="1"/>
      </sharedItems>
    </cacheField>
    <cacheField name="Type" numFmtId="0">
      <sharedItems count="4">
        <s v="Instant"/>
        <s v="Artifact"/>
        <s v="Creature"/>
        <s v="Enchantment"/>
      </sharedItems>
    </cacheField>
    <cacheField name="How many I already got" numFmtId="0">
      <sharedItems containsSemiMixedTypes="0" containsString="0" containsNumber="1" containsInteger="1" minValue="0" maxValue="1"/>
    </cacheField>
    <cacheField name="Price per Card" numFmtId="164">
      <sharedItems containsSemiMixedTypes="0" containsString="0" containsNumber="1" minValue="0.02" maxValue="22"/>
    </cacheField>
    <cacheField name="How many I still need" numFmtId="0">
      <sharedItems containsSemiMixedTypes="0" containsString="0" containsNumber="1" containsInteger="1" minValue="1" maxValue="3" count="3">
        <n v="2"/>
        <n v="1"/>
        <n v="3"/>
      </sharedItems>
    </cacheField>
    <cacheField name="Total Price" numFmtId="164">
      <sharedItems containsSemiMixedTypes="0" containsString="0" containsNumber="1" minValue="0.02" maxValue="44"/>
    </cacheField>
    <cacheField name="-" numFmtId="16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4">
  <r>
    <n v="2"/>
    <x v="0"/>
    <x v="0"/>
    <n v="0"/>
    <n v="2.2000000000000002"/>
    <x v="0"/>
    <n v="4.4000000000000004"/>
    <m/>
  </r>
  <r>
    <n v="1"/>
    <x v="1"/>
    <x v="0"/>
    <n v="0"/>
    <n v="8.99"/>
    <x v="1"/>
    <n v="8.99"/>
    <m/>
  </r>
  <r>
    <n v="1"/>
    <x v="2"/>
    <x v="0"/>
    <n v="0"/>
    <n v="41.5"/>
    <x v="1"/>
    <n v="41.5"/>
    <m/>
  </r>
  <r>
    <n v="4"/>
    <x v="3"/>
    <x v="1"/>
    <n v="4"/>
    <n v="10"/>
    <x v="2"/>
    <n v="0"/>
    <m/>
  </r>
  <r>
    <n v="4"/>
    <x v="4"/>
    <x v="2"/>
    <n v="2"/>
    <n v="0.15"/>
    <x v="0"/>
    <n v="0.3"/>
    <m/>
  </r>
  <r>
    <n v="4"/>
    <x v="5"/>
    <x v="0"/>
    <n v="0"/>
    <n v="3.39"/>
    <x v="3"/>
    <n v="13.56"/>
    <m/>
  </r>
  <r>
    <n v="1"/>
    <x v="6"/>
    <x v="0"/>
    <n v="1"/>
    <n v="0.02"/>
    <x v="2"/>
    <n v="0"/>
    <m/>
  </r>
  <r>
    <n v="1"/>
    <x v="7"/>
    <x v="0"/>
    <n v="0"/>
    <n v="2.98"/>
    <x v="1"/>
    <n v="2.98"/>
    <m/>
  </r>
  <r>
    <n v="3"/>
    <x v="8"/>
    <x v="2"/>
    <n v="2"/>
    <n v="3.85"/>
    <x v="1"/>
    <n v="3.85"/>
    <m/>
  </r>
  <r>
    <n v="2"/>
    <x v="9"/>
    <x v="0"/>
    <n v="2"/>
    <n v="5"/>
    <x v="2"/>
    <n v="0"/>
    <m/>
  </r>
  <r>
    <n v="1"/>
    <x v="10"/>
    <x v="0"/>
    <n v="1"/>
    <n v="0.02"/>
    <x v="2"/>
    <n v="0"/>
    <m/>
  </r>
  <r>
    <n v="4"/>
    <x v="11"/>
    <x v="2"/>
    <n v="4"/>
    <n v="0.34"/>
    <x v="2"/>
    <n v="0"/>
    <m/>
  </r>
  <r>
    <n v="3"/>
    <x v="12"/>
    <x v="0"/>
    <n v="0"/>
    <n v="28.4"/>
    <x v="4"/>
    <n v="85.199999999999989"/>
    <m/>
  </r>
  <r>
    <n v="4"/>
    <x v="13"/>
    <x v="2"/>
    <n v="1"/>
    <n v="34.5"/>
    <x v="4"/>
    <n v="103.5"/>
    <m/>
  </r>
  <r>
    <n v="3"/>
    <x v="14"/>
    <x v="1"/>
    <n v="3"/>
    <n v="5"/>
    <x v="2"/>
    <n v="0"/>
    <m/>
  </r>
  <r>
    <n v="2"/>
    <x v="15"/>
    <x v="2"/>
    <n v="1"/>
    <n v="4.99"/>
    <x v="1"/>
    <n v="4.99"/>
    <m/>
  </r>
  <r>
    <n v="1"/>
    <x v="16"/>
    <x v="0"/>
    <n v="1"/>
    <n v="0.01"/>
    <x v="2"/>
    <n v="0"/>
    <m/>
  </r>
  <r>
    <n v="4"/>
    <x v="17"/>
    <x v="2"/>
    <n v="4"/>
    <n v="0.1"/>
    <x v="2"/>
    <n v="0"/>
    <m/>
  </r>
  <r>
    <n v="1"/>
    <x v="18"/>
    <x v="0"/>
    <n v="0"/>
    <n v="5"/>
    <x v="1"/>
    <n v="5"/>
    <m/>
  </r>
  <r>
    <n v="4"/>
    <x v="19"/>
    <x v="2"/>
    <n v="4"/>
    <n v="3.85"/>
    <x v="2"/>
    <n v="0"/>
    <m/>
  </r>
  <r>
    <n v="4"/>
    <x v="20"/>
    <x v="2"/>
    <n v="4"/>
    <n v="4.2"/>
    <x v="2"/>
    <n v="0"/>
    <m/>
  </r>
  <r>
    <n v="2"/>
    <x v="21"/>
    <x v="3"/>
    <n v="2"/>
    <n v="0.05"/>
    <x v="2"/>
    <n v="0"/>
    <m/>
  </r>
  <r>
    <n v="1"/>
    <x v="22"/>
    <x v="0"/>
    <n v="0"/>
    <n v="5"/>
    <x v="1"/>
    <n v="5"/>
    <m/>
  </r>
  <r>
    <n v="3"/>
    <x v="23"/>
    <x v="0"/>
    <n v="3"/>
    <n v="4.25"/>
    <x v="2"/>
    <n v="0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8">
  <r>
    <n v="2"/>
    <x v="0"/>
    <x v="0"/>
    <n v="0"/>
    <n v="0.12"/>
    <x v="0"/>
    <n v="0.24"/>
    <m/>
  </r>
  <r>
    <n v="2"/>
    <x v="1"/>
    <x v="1"/>
    <n v="0"/>
    <n v="22"/>
    <x v="0"/>
    <n v="44"/>
    <m/>
  </r>
  <r>
    <n v="1"/>
    <x v="2"/>
    <x v="0"/>
    <n v="0"/>
    <n v="5"/>
    <x v="1"/>
    <n v="5"/>
    <m/>
  </r>
  <r>
    <n v="2"/>
    <x v="3"/>
    <x v="2"/>
    <n v="0"/>
    <n v="0.49"/>
    <x v="0"/>
    <n v="0.98"/>
    <m/>
  </r>
  <r>
    <n v="3"/>
    <x v="4"/>
    <x v="3"/>
    <n v="1"/>
    <n v="3.9"/>
    <x v="0"/>
    <n v="7.8"/>
    <m/>
  </r>
  <r>
    <n v="1"/>
    <x v="5"/>
    <x v="2"/>
    <n v="0"/>
    <n v="0.02"/>
    <x v="1"/>
    <n v="0.02"/>
    <m/>
  </r>
  <r>
    <n v="1"/>
    <x v="6"/>
    <x v="2"/>
    <n v="0"/>
    <n v="17"/>
    <x v="1"/>
    <n v="17"/>
    <m/>
  </r>
  <r>
    <n v="3"/>
    <x v="7"/>
    <x v="3"/>
    <n v="0"/>
    <n v="5.8"/>
    <x v="2"/>
    <n v="17.399999999999999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B3:C56" firstHeaderRow="1" firstDataRow="1" firstDataCol="1"/>
  <pivotFields count="8">
    <pivotField showAll="0"/>
    <pivotField axis="axisRow" showAl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m="1" x="24"/>
        <item t="default"/>
      </items>
    </pivotField>
    <pivotField axis="axisRow" showAll="0">
      <items count="5">
        <item x="2"/>
        <item x="3"/>
        <item x="1"/>
        <item x="0"/>
        <item t="default"/>
      </items>
    </pivotField>
    <pivotField showAll="0" defaultSubtotal="0"/>
    <pivotField numFmtId="164" showAll="0"/>
    <pivotField axis="axisRow" showAll="0" defaultSubtotal="0">
      <items count="5">
        <item x="2"/>
        <item x="1"/>
        <item x="0"/>
        <item x="4"/>
        <item x="3"/>
      </items>
    </pivotField>
    <pivotField dataField="1" numFmtId="164" showAll="0"/>
    <pivotField showAll="0" defaultSubtotal="0"/>
  </pivotFields>
  <rowFields count="3">
    <field x="2"/>
    <field x="1"/>
    <field x="5"/>
  </rowFields>
  <rowItems count="53">
    <i>
      <x/>
    </i>
    <i r="1">
      <x v="4"/>
    </i>
    <i r="2">
      <x v="2"/>
    </i>
    <i r="1">
      <x v="8"/>
    </i>
    <i r="2">
      <x v="1"/>
    </i>
    <i r="1">
      <x v="11"/>
    </i>
    <i r="2">
      <x/>
    </i>
    <i r="1">
      <x v="13"/>
    </i>
    <i r="2">
      <x v="3"/>
    </i>
    <i r="1">
      <x v="15"/>
    </i>
    <i r="2">
      <x v="1"/>
    </i>
    <i r="1">
      <x v="17"/>
    </i>
    <i r="2">
      <x/>
    </i>
    <i r="1">
      <x v="19"/>
    </i>
    <i r="2">
      <x/>
    </i>
    <i r="1">
      <x v="20"/>
    </i>
    <i r="2">
      <x/>
    </i>
    <i>
      <x v="1"/>
    </i>
    <i r="1">
      <x v="21"/>
    </i>
    <i r="2">
      <x/>
    </i>
    <i>
      <x v="2"/>
    </i>
    <i r="1">
      <x v="3"/>
    </i>
    <i r="2">
      <x/>
    </i>
    <i r="1">
      <x v="14"/>
    </i>
    <i r="2">
      <x/>
    </i>
    <i>
      <x v="3"/>
    </i>
    <i r="1">
      <x/>
    </i>
    <i r="2">
      <x v="2"/>
    </i>
    <i r="1">
      <x v="1"/>
    </i>
    <i r="2">
      <x v="1"/>
    </i>
    <i r="1">
      <x v="2"/>
    </i>
    <i r="2">
      <x v="1"/>
    </i>
    <i r="1">
      <x v="5"/>
    </i>
    <i r="2">
      <x v="4"/>
    </i>
    <i r="1">
      <x v="6"/>
    </i>
    <i r="2">
      <x/>
    </i>
    <i r="1">
      <x v="7"/>
    </i>
    <i r="2">
      <x v="1"/>
    </i>
    <i r="1">
      <x v="9"/>
    </i>
    <i r="2">
      <x/>
    </i>
    <i r="1">
      <x v="10"/>
    </i>
    <i r="2">
      <x/>
    </i>
    <i r="1">
      <x v="12"/>
    </i>
    <i r="2">
      <x v="3"/>
    </i>
    <i r="1">
      <x v="16"/>
    </i>
    <i r="2">
      <x/>
    </i>
    <i r="1">
      <x v="18"/>
    </i>
    <i r="2">
      <x v="1"/>
    </i>
    <i r="1">
      <x v="22"/>
    </i>
    <i r="2">
      <x v="1"/>
    </i>
    <i r="1">
      <x v="23"/>
    </i>
    <i r="2">
      <x/>
    </i>
    <i t="grand">
      <x/>
    </i>
  </rowItems>
  <colItems count="1">
    <i/>
  </colItems>
  <dataFields count="1">
    <dataField name="Sum of Total Price" fld="6" baseField="0" baseItem="0" numFmtId="165"/>
  </dataFields>
  <pivotTableStyleInfo name="PivotStyleLight1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2" cacheId="1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E3:F24" firstHeaderRow="1" firstDataRow="1" firstDataCol="1"/>
  <pivotFields count="8">
    <pivotField showAll="0"/>
    <pivotField axis="axisRow" showAll="0">
      <items count="10">
        <item x="0"/>
        <item x="1"/>
        <item x="2"/>
        <item x="3"/>
        <item x="4"/>
        <item x="5"/>
        <item x="6"/>
        <item x="7"/>
        <item m="1" x="8"/>
        <item t="default"/>
      </items>
    </pivotField>
    <pivotField axis="axisRow" showAll="0">
      <items count="5">
        <item x="1"/>
        <item x="2"/>
        <item x="3"/>
        <item x="0"/>
        <item t="default"/>
      </items>
    </pivotField>
    <pivotField showAll="0" defaultSubtotal="0"/>
    <pivotField numFmtId="164" showAll="0"/>
    <pivotField axis="axisRow" showAll="0" defaultSubtotal="0">
      <items count="3">
        <item x="1"/>
        <item x="0"/>
        <item x="2"/>
      </items>
    </pivotField>
    <pivotField dataField="1" numFmtId="164" showAll="0"/>
    <pivotField showAll="0" defaultSubtotal="0"/>
  </pivotFields>
  <rowFields count="3">
    <field x="2"/>
    <field x="1"/>
    <field x="5"/>
  </rowFields>
  <rowItems count="21">
    <i>
      <x/>
    </i>
    <i r="1">
      <x v="1"/>
    </i>
    <i r="2">
      <x v="1"/>
    </i>
    <i>
      <x v="1"/>
    </i>
    <i r="1">
      <x v="3"/>
    </i>
    <i r="2">
      <x v="1"/>
    </i>
    <i r="1">
      <x v="5"/>
    </i>
    <i r="2">
      <x/>
    </i>
    <i r="1">
      <x v="6"/>
    </i>
    <i r="2">
      <x/>
    </i>
    <i>
      <x v="2"/>
    </i>
    <i r="1">
      <x v="4"/>
    </i>
    <i r="2">
      <x v="1"/>
    </i>
    <i r="1">
      <x v="7"/>
    </i>
    <i r="2">
      <x v="2"/>
    </i>
    <i>
      <x v="3"/>
    </i>
    <i r="1">
      <x/>
    </i>
    <i r="2">
      <x v="1"/>
    </i>
    <i r="1">
      <x v="2"/>
    </i>
    <i r="2">
      <x/>
    </i>
    <i t="grand">
      <x/>
    </i>
  </rowItems>
  <colItems count="1">
    <i/>
  </colItems>
  <dataFields count="1">
    <dataField name="Sum of Total Price" fld="6" baseField="0" baseItem="0" numFmtId="165"/>
  </dataFields>
  <pivotTableStyleInfo name="PivotStyleLight1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2" name="Sideboard" displayName="Sideboard" ref="B29:I37" totalsRowShown="0">
  <autoFilter ref="B29:I37"/>
  <tableColumns count="8">
    <tableColumn id="1" name="No#" dataDxfId="15"/>
    <tableColumn id="2" name="Name" dataDxfId="14"/>
    <tableColumn id="3" name="Type" dataDxfId="13"/>
    <tableColumn id="4" name="How many I already got" dataDxfId="12"/>
    <tableColumn id="5" name="Price per Card" dataDxfId="11"/>
    <tableColumn id="8" name="How many I still need" dataDxfId="10">
      <calculatedColumnFormula>Sideboard[[#This Row],[No'#]]-Sideboard[[#This Row],[How many I already got]]</calculatedColumnFormula>
    </tableColumn>
    <tableColumn id="9" name="Total Price" dataDxfId="9">
      <calculatedColumnFormula>IF(Sideboard[[#This Row],[How many I already got]]=0,Sideboard[[#This Row],[Price per Card]]*Sideboard[[#This Row],[No'#]],Sideboard[[#This Row],[How many I still need]]*Sideboard[[#This Row],[Price per Card]])</calculatedColumnFormula>
    </tableColumn>
    <tableColumn id="6" name="-" dataDxfId="8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1" name="Maindeck" displayName="Maindeck" ref="B3:I27" totalsRowShown="0">
  <autoFilter ref="B3:I27"/>
  <tableColumns count="8">
    <tableColumn id="1" name="No#" dataDxfId="7"/>
    <tableColumn id="2" name="Name" dataDxfId="6"/>
    <tableColumn id="3" name="Type" dataDxfId="5"/>
    <tableColumn id="9" name="How many I already got" dataDxfId="4"/>
    <tableColumn id="5" name="Price per Card" dataDxfId="3"/>
    <tableColumn id="10" name="How many I still need" dataDxfId="2">
      <calculatedColumnFormula>Maindeck[[#This Row],[No'#]]-Maindeck[[#This Row],[How many I already got]]</calculatedColumnFormula>
    </tableColumn>
    <tableColumn id="8" name="Total Price" dataDxfId="1">
      <calculatedColumnFormula>IF(Maindeck[[#This Row],[How many I already got]]=0,Maindeck[[#This Row],[Price per Card]]*Maindeck[[#This Row],[No'#]],Maindeck[[#This Row],[How many I still need]]*Maindeck[[#This Row],[Price per Card]])</calculatedColumnFormula>
    </tableColumn>
    <tableColumn id="4" name="-" dataDxfId="0"/>
  </tableColumns>
  <tableStyleInfo name="TableStyleMedium1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blipFill dpi="0" rotWithShape="1"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10" Type="http://schemas.openxmlformats.org/officeDocument/2006/relationships/table" Target="../tables/table2.xml"/><Relationship Id="rId4" Type="http://schemas.openxmlformats.org/officeDocument/2006/relationships/vmlDrawing" Target="../drawings/vmlDrawing2.vml"/><Relationship Id="rId9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5.xml"/><Relationship Id="rId4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B2:P39"/>
  <sheetViews>
    <sheetView showGridLines="0" showRowColHeaders="0" tabSelected="1" zoomScale="80" zoomScaleNormal="80" workbookViewId="0"/>
  </sheetViews>
  <sheetFormatPr defaultRowHeight="14.5" x14ac:dyDescent="0.35"/>
  <cols>
    <col min="1" max="1" width="2.81640625" customWidth="1"/>
    <col min="2" max="2" width="7.7265625" customWidth="1"/>
    <col min="3" max="3" width="19.81640625" bestFit="1" customWidth="1"/>
    <col min="4" max="4" width="11.90625" bestFit="1" customWidth="1"/>
    <col min="5" max="5" width="25.36328125" bestFit="1" customWidth="1"/>
    <col min="6" max="7" width="24.453125" bestFit="1" customWidth="1"/>
    <col min="8" max="8" width="22.36328125" bestFit="1" customWidth="1"/>
    <col min="9" max="9" width="4.453125" customWidth="1"/>
    <col min="10" max="10" width="9" customWidth="1"/>
    <col min="11" max="12" width="8.54296875" customWidth="1"/>
    <col min="13" max="13" width="4.453125" customWidth="1"/>
    <col min="14" max="14" width="14.6328125" bestFit="1" customWidth="1"/>
    <col min="15" max="15" width="10.36328125" customWidth="1"/>
    <col min="16" max="16" width="9.1796875" customWidth="1"/>
    <col min="17" max="17" width="8.1796875" bestFit="1" customWidth="1"/>
  </cols>
  <sheetData>
    <row r="2" spans="2:16" ht="18.5" x14ac:dyDescent="0.45">
      <c r="B2" s="1" t="s">
        <v>40</v>
      </c>
    </row>
    <row r="3" spans="2:16" x14ac:dyDescent="0.35">
      <c r="B3" t="s">
        <v>41</v>
      </c>
      <c r="C3" t="s">
        <v>31</v>
      </c>
      <c r="D3" t="s">
        <v>33</v>
      </c>
      <c r="E3" s="19" t="s">
        <v>50</v>
      </c>
      <c r="F3" t="s">
        <v>42</v>
      </c>
      <c r="G3" t="s">
        <v>51</v>
      </c>
      <c r="H3" t="s">
        <v>43</v>
      </c>
      <c r="I3" t="s">
        <v>53</v>
      </c>
    </row>
    <row r="4" spans="2:16" x14ac:dyDescent="0.35">
      <c r="B4" s="19">
        <v>2</v>
      </c>
      <c r="C4" s="19" t="s">
        <v>0</v>
      </c>
      <c r="D4" s="19" t="s">
        <v>34</v>
      </c>
      <c r="E4" s="19">
        <v>0</v>
      </c>
      <c r="F4" s="2">
        <v>2.2000000000000002</v>
      </c>
      <c r="G4">
        <f>Maindeck[[#This Row],[No'#]]-Maindeck[[#This Row],[How many I already got]]</f>
        <v>2</v>
      </c>
      <c r="H4" s="2">
        <f>IF(Maindeck[[#This Row],[How many I already got]]=0,Maindeck[[#This Row],[Price per Card]]*Maindeck[[#This Row],[No'#]],Maindeck[[#This Row],[How many I still need]]*Maindeck[[#This Row],[Price per Card]])</f>
        <v>4.4000000000000004</v>
      </c>
      <c r="I4" s="2"/>
      <c r="J4" s="2"/>
    </row>
    <row r="5" spans="2:16" x14ac:dyDescent="0.35">
      <c r="B5" s="19">
        <v>1</v>
      </c>
      <c r="C5" s="19" t="s">
        <v>1</v>
      </c>
      <c r="D5" s="19" t="s">
        <v>34</v>
      </c>
      <c r="E5" s="19">
        <v>0</v>
      </c>
      <c r="F5" s="2">
        <v>8.99</v>
      </c>
      <c r="G5">
        <f>Maindeck[[#This Row],[No'#]]-Maindeck[[#This Row],[How many I already got]]</f>
        <v>1</v>
      </c>
      <c r="H5" s="2">
        <f>IF(Maindeck[[#This Row],[How many I already got]]=0,Maindeck[[#This Row],[Price per Card]]*Maindeck[[#This Row],[No'#]],Maindeck[[#This Row],[How many I still need]]*Maindeck[[#This Row],[Price per Card]])</f>
        <v>8.99</v>
      </c>
      <c r="I5" s="2"/>
      <c r="J5" s="2"/>
    </row>
    <row r="6" spans="2:16" x14ac:dyDescent="0.35">
      <c r="B6" s="19">
        <v>1</v>
      </c>
      <c r="C6" s="19" t="s">
        <v>2</v>
      </c>
      <c r="D6" s="19" t="s">
        <v>34</v>
      </c>
      <c r="E6" s="19">
        <v>0</v>
      </c>
      <c r="F6" s="2">
        <v>41.5</v>
      </c>
      <c r="G6">
        <f>Maindeck[[#This Row],[No'#]]-Maindeck[[#This Row],[How many I already got]]</f>
        <v>1</v>
      </c>
      <c r="H6" s="2">
        <f>IF(Maindeck[[#This Row],[How many I already got]]=0,Maindeck[[#This Row],[Price per Card]]*Maindeck[[#This Row],[No'#]],Maindeck[[#This Row],[How many I still need]]*Maindeck[[#This Row],[Price per Card]])</f>
        <v>41.5</v>
      </c>
      <c r="I6" s="2"/>
      <c r="J6" s="2"/>
    </row>
    <row r="7" spans="2:16" x14ac:dyDescent="0.35">
      <c r="B7" s="19">
        <v>4</v>
      </c>
      <c r="C7" s="19" t="s">
        <v>3</v>
      </c>
      <c r="D7" s="19" t="s">
        <v>35</v>
      </c>
      <c r="E7" s="19">
        <v>4</v>
      </c>
      <c r="F7" s="2">
        <v>10</v>
      </c>
      <c r="G7">
        <f>Maindeck[[#This Row],[No'#]]-Maindeck[[#This Row],[How many I already got]]</f>
        <v>0</v>
      </c>
      <c r="H7" s="2">
        <f>IF(Maindeck[[#This Row],[How many I already got]]=0,Maindeck[[#This Row],[Price per Card]]*Maindeck[[#This Row],[No'#]],Maindeck[[#This Row],[How many I still need]]*Maindeck[[#This Row],[Price per Card]])</f>
        <v>0</v>
      </c>
      <c r="I7" s="2"/>
      <c r="J7" s="2"/>
    </row>
    <row r="8" spans="2:16" x14ac:dyDescent="0.35">
      <c r="B8" s="19">
        <v>4</v>
      </c>
      <c r="C8" s="19" t="s">
        <v>4</v>
      </c>
      <c r="D8" s="19" t="s">
        <v>36</v>
      </c>
      <c r="E8" s="19">
        <v>2</v>
      </c>
      <c r="F8" s="2">
        <v>0.15</v>
      </c>
      <c r="G8">
        <f>Maindeck[[#This Row],[No'#]]-Maindeck[[#This Row],[How many I already got]]</f>
        <v>2</v>
      </c>
      <c r="H8" s="2">
        <f>IF(Maindeck[[#This Row],[How many I already got]]=0,Maindeck[[#This Row],[Price per Card]]*Maindeck[[#This Row],[No'#]],Maindeck[[#This Row],[How many I still need]]*Maindeck[[#This Row],[Price per Card]])</f>
        <v>0.3</v>
      </c>
      <c r="I8" s="2"/>
      <c r="J8" s="2"/>
    </row>
    <row r="9" spans="2:16" x14ac:dyDescent="0.35">
      <c r="B9" s="19">
        <v>4</v>
      </c>
      <c r="C9" s="19" t="s">
        <v>5</v>
      </c>
      <c r="D9" s="19" t="s">
        <v>34</v>
      </c>
      <c r="E9" s="19">
        <v>0</v>
      </c>
      <c r="F9" s="2">
        <v>3.39</v>
      </c>
      <c r="G9">
        <f>Maindeck[[#This Row],[No'#]]-Maindeck[[#This Row],[How many I already got]]</f>
        <v>4</v>
      </c>
      <c r="H9" s="2">
        <f>IF(Maindeck[[#This Row],[How many I already got]]=0,Maindeck[[#This Row],[Price per Card]]*Maindeck[[#This Row],[No'#]],Maindeck[[#This Row],[How many I still need]]*Maindeck[[#This Row],[Price per Card]])</f>
        <v>13.56</v>
      </c>
      <c r="I9" s="2"/>
      <c r="J9" s="2"/>
    </row>
    <row r="10" spans="2:16" x14ac:dyDescent="0.35">
      <c r="B10" s="19">
        <v>1</v>
      </c>
      <c r="C10" s="19" t="s">
        <v>6</v>
      </c>
      <c r="D10" s="19" t="s">
        <v>34</v>
      </c>
      <c r="E10" s="19">
        <v>1</v>
      </c>
      <c r="F10" s="2">
        <v>0.02</v>
      </c>
      <c r="G10">
        <f>Maindeck[[#This Row],[No'#]]-Maindeck[[#This Row],[How many I already got]]</f>
        <v>0</v>
      </c>
      <c r="H10" s="2">
        <f>IF(Maindeck[[#This Row],[How many I already got]]=0,Maindeck[[#This Row],[Price per Card]]*Maindeck[[#This Row],[No'#]],Maindeck[[#This Row],[How many I still need]]*Maindeck[[#This Row],[Price per Card]])</f>
        <v>0</v>
      </c>
      <c r="I10" s="2"/>
      <c r="J10" s="2"/>
    </row>
    <row r="11" spans="2:16" x14ac:dyDescent="0.35">
      <c r="B11" s="19">
        <v>1</v>
      </c>
      <c r="C11" s="19" t="s">
        <v>7</v>
      </c>
      <c r="D11" s="19" t="s">
        <v>34</v>
      </c>
      <c r="E11" s="19">
        <v>0</v>
      </c>
      <c r="F11" s="2">
        <v>2.98</v>
      </c>
      <c r="G11">
        <f>Maindeck[[#This Row],[No'#]]-Maindeck[[#This Row],[How many I already got]]</f>
        <v>1</v>
      </c>
      <c r="H11" s="2">
        <f>IF(Maindeck[[#This Row],[How many I already got]]=0,Maindeck[[#This Row],[Price per Card]]*Maindeck[[#This Row],[No'#]],Maindeck[[#This Row],[How many I still need]]*Maindeck[[#This Row],[Price per Card]])</f>
        <v>2.98</v>
      </c>
      <c r="I11" s="2"/>
      <c r="J11" s="2"/>
    </row>
    <row r="12" spans="2:16" x14ac:dyDescent="0.35">
      <c r="B12" s="19">
        <v>3</v>
      </c>
      <c r="C12" s="19" t="s">
        <v>8</v>
      </c>
      <c r="D12" s="19" t="s">
        <v>36</v>
      </c>
      <c r="E12" s="19">
        <v>2</v>
      </c>
      <c r="F12" s="2">
        <v>3.85</v>
      </c>
      <c r="G12">
        <f>Maindeck[[#This Row],[No'#]]-Maindeck[[#This Row],[How many I already got]]</f>
        <v>1</v>
      </c>
      <c r="H12" s="2">
        <f>IF(Maindeck[[#This Row],[How many I already got]]=0,Maindeck[[#This Row],[Price per Card]]*Maindeck[[#This Row],[No'#]],Maindeck[[#This Row],[How many I still need]]*Maindeck[[#This Row],[Price per Card]])</f>
        <v>3.85</v>
      </c>
      <c r="I12" s="2"/>
      <c r="J12" s="2"/>
    </row>
    <row r="13" spans="2:16" ht="15" thickBot="1" x14ac:dyDescent="0.4">
      <c r="B13" s="19">
        <v>2</v>
      </c>
      <c r="C13" s="19" t="s">
        <v>9</v>
      </c>
      <c r="D13" s="19" t="s">
        <v>34</v>
      </c>
      <c r="E13" s="19">
        <v>2</v>
      </c>
      <c r="F13" s="2">
        <v>5</v>
      </c>
      <c r="G13">
        <f>Maindeck[[#This Row],[No'#]]-Maindeck[[#This Row],[How many I already got]]</f>
        <v>0</v>
      </c>
      <c r="H13" s="2">
        <f>IF(Maindeck[[#This Row],[How many I already got]]=0,Maindeck[[#This Row],[Price per Card]]*Maindeck[[#This Row],[No'#]],Maindeck[[#This Row],[How many I still need]]*Maindeck[[#This Row],[Price per Card]])</f>
        <v>0</v>
      </c>
      <c r="I13" s="2"/>
      <c r="J13" s="2"/>
    </row>
    <row r="14" spans="2:16" ht="15.5" thickTop="1" thickBot="1" x14ac:dyDescent="0.4">
      <c r="B14" s="19">
        <v>1</v>
      </c>
      <c r="C14" s="19" t="s">
        <v>10</v>
      </c>
      <c r="D14" s="19" t="s">
        <v>34</v>
      </c>
      <c r="E14" s="19">
        <v>1</v>
      </c>
      <c r="F14" s="2">
        <v>0.02</v>
      </c>
      <c r="G14">
        <f>Maindeck[[#This Row],[No'#]]-Maindeck[[#This Row],[How many I already got]]</f>
        <v>0</v>
      </c>
      <c r="H14" s="2">
        <f>IF(Maindeck[[#This Row],[How many I already got]]=0,Maindeck[[#This Row],[Price per Card]]*Maindeck[[#This Row],[No'#]],Maindeck[[#This Row],[How many I still need]]*Maindeck[[#This Row],[Price per Card]])</f>
        <v>0</v>
      </c>
      <c r="I14" s="2"/>
      <c r="J14" s="2"/>
      <c r="N14" s="9"/>
      <c r="O14" s="11" t="s">
        <v>32</v>
      </c>
      <c r="P14" s="12" t="s">
        <v>49</v>
      </c>
    </row>
    <row r="15" spans="2:16" ht="15.5" thickTop="1" thickBot="1" x14ac:dyDescent="0.4">
      <c r="B15" s="19">
        <v>4</v>
      </c>
      <c r="C15" s="19" t="s">
        <v>11</v>
      </c>
      <c r="D15" s="19" t="s">
        <v>36</v>
      </c>
      <c r="E15" s="19">
        <v>4</v>
      </c>
      <c r="F15" s="2">
        <v>0.34</v>
      </c>
      <c r="G15">
        <f>Maindeck[[#This Row],[No'#]]-Maindeck[[#This Row],[How many I already got]]</f>
        <v>0</v>
      </c>
      <c r="H15" s="2">
        <f>IF(Maindeck[[#This Row],[How many I already got]]=0,Maindeck[[#This Row],[Price per Card]]*Maindeck[[#This Row],[No'#]],Maindeck[[#This Row],[How many I still need]]*Maindeck[[#This Row],[Price per Card]])</f>
        <v>0</v>
      </c>
      <c r="I15" s="2"/>
      <c r="J15" s="2"/>
      <c r="N15" s="13" t="s">
        <v>44</v>
      </c>
      <c r="O15" s="6">
        <f>SUM(Maindeck[Total Price])</f>
        <v>279.27</v>
      </c>
      <c r="P15" s="5">
        <f>SUM(Maindeck[No'#])</f>
        <v>60</v>
      </c>
    </row>
    <row r="16" spans="2:16" ht="15" thickBot="1" x14ac:dyDescent="0.4">
      <c r="B16" s="19">
        <v>3</v>
      </c>
      <c r="C16" s="19" t="s">
        <v>12</v>
      </c>
      <c r="D16" s="19" t="s">
        <v>34</v>
      </c>
      <c r="E16" s="19">
        <v>0</v>
      </c>
      <c r="F16" s="2">
        <v>28.4</v>
      </c>
      <c r="G16">
        <f>Maindeck[[#This Row],[No'#]]-Maindeck[[#This Row],[How many I already got]]</f>
        <v>3</v>
      </c>
      <c r="H16" s="2">
        <f>IF(Maindeck[[#This Row],[How many I already got]]=0,Maindeck[[#This Row],[Price per Card]]*Maindeck[[#This Row],[No'#]],Maindeck[[#This Row],[How many I still need]]*Maindeck[[#This Row],[Price per Card]])</f>
        <v>85.199999999999989</v>
      </c>
      <c r="I16" s="2"/>
      <c r="J16" s="2"/>
      <c r="N16" s="14" t="s">
        <v>45</v>
      </c>
      <c r="O16" s="7">
        <f>SUM(Sideboard[Total Price])</f>
        <v>92.44</v>
      </c>
      <c r="P16" s="5">
        <f>SUM(Sideboard[No'#])</f>
        <v>15</v>
      </c>
    </row>
    <row r="17" spans="2:16" ht="15" thickBot="1" x14ac:dyDescent="0.4">
      <c r="B17" s="19">
        <v>4</v>
      </c>
      <c r="C17" s="19" t="s">
        <v>13</v>
      </c>
      <c r="D17" s="19" t="s">
        <v>36</v>
      </c>
      <c r="E17" s="19">
        <v>1</v>
      </c>
      <c r="F17" s="2">
        <v>34.5</v>
      </c>
      <c r="G17">
        <f>Maindeck[[#This Row],[No'#]]-Maindeck[[#This Row],[How many I already got]]</f>
        <v>3</v>
      </c>
      <c r="H17" s="2">
        <f>IF(Maindeck[[#This Row],[How many I already got]]=0,Maindeck[[#This Row],[Price per Card]]*Maindeck[[#This Row],[No'#]],Maindeck[[#This Row],[How many I still need]]*Maindeck[[#This Row],[Price per Card]])</f>
        <v>103.5</v>
      </c>
      <c r="I17" s="2"/>
      <c r="J17" s="2"/>
      <c r="N17" s="15" t="s">
        <v>46</v>
      </c>
      <c r="O17" s="8">
        <f>O15+O16</f>
        <v>371.71</v>
      </c>
      <c r="P17" s="10">
        <f>P15+P16</f>
        <v>75</v>
      </c>
    </row>
    <row r="18" spans="2:16" ht="15" x14ac:dyDescent="0.35">
      <c r="B18" s="19">
        <v>3</v>
      </c>
      <c r="C18" s="19" t="s">
        <v>14</v>
      </c>
      <c r="D18" s="19" t="s">
        <v>35</v>
      </c>
      <c r="E18" s="19">
        <v>3</v>
      </c>
      <c r="F18" s="2">
        <v>5</v>
      </c>
      <c r="G18">
        <f>Maindeck[[#This Row],[No'#]]-Maindeck[[#This Row],[How many I already got]]</f>
        <v>0</v>
      </c>
      <c r="H18" s="2">
        <f>IF(Maindeck[[#This Row],[How many I already got]]=0,Maindeck[[#This Row],[Price per Card]]*Maindeck[[#This Row],[No'#]],Maindeck[[#This Row],[How many I still need]]*Maindeck[[#This Row],[Price per Card]])</f>
        <v>0</v>
      </c>
      <c r="I18" s="2"/>
      <c r="J18" s="2"/>
    </row>
    <row r="19" spans="2:16" x14ac:dyDescent="0.35">
      <c r="B19" s="19">
        <v>2</v>
      </c>
      <c r="C19" s="19" t="s">
        <v>15</v>
      </c>
      <c r="D19" s="19" t="s">
        <v>36</v>
      </c>
      <c r="E19" s="19">
        <v>1</v>
      </c>
      <c r="F19" s="2">
        <v>4.99</v>
      </c>
      <c r="G19">
        <f>Maindeck[[#This Row],[No'#]]-Maindeck[[#This Row],[How many I already got]]</f>
        <v>1</v>
      </c>
      <c r="H19" s="2">
        <f>IF(Maindeck[[#This Row],[How many I already got]]=0,Maindeck[[#This Row],[Price per Card]]*Maindeck[[#This Row],[No'#]],Maindeck[[#This Row],[How many I still need]]*Maindeck[[#This Row],[Price per Card]])</f>
        <v>4.99</v>
      </c>
      <c r="I19" s="2"/>
      <c r="J19" s="2"/>
    </row>
    <row r="20" spans="2:16" x14ac:dyDescent="0.35">
      <c r="B20" s="19">
        <v>1</v>
      </c>
      <c r="C20" s="19" t="s">
        <v>16</v>
      </c>
      <c r="D20" s="19" t="s">
        <v>34</v>
      </c>
      <c r="E20" s="19">
        <v>1</v>
      </c>
      <c r="F20" s="2">
        <v>0.01</v>
      </c>
      <c r="G20">
        <f>Maindeck[[#This Row],[No'#]]-Maindeck[[#This Row],[How many I already got]]</f>
        <v>0</v>
      </c>
      <c r="H20" s="2">
        <f>IF(Maindeck[[#This Row],[How many I already got]]=0,Maindeck[[#This Row],[Price per Card]]*Maindeck[[#This Row],[No'#]],Maindeck[[#This Row],[How many I still need]]*Maindeck[[#This Row],[Price per Card]])</f>
        <v>0</v>
      </c>
      <c r="I20" s="2"/>
      <c r="J20" s="2"/>
    </row>
    <row r="21" spans="2:16" x14ac:dyDescent="0.35">
      <c r="B21" s="19">
        <v>4</v>
      </c>
      <c r="C21" s="19" t="s">
        <v>17</v>
      </c>
      <c r="D21" s="19" t="s">
        <v>36</v>
      </c>
      <c r="E21" s="19">
        <v>4</v>
      </c>
      <c r="F21" s="2">
        <v>0.1</v>
      </c>
      <c r="G21">
        <f>Maindeck[[#This Row],[No'#]]-Maindeck[[#This Row],[How many I already got]]</f>
        <v>0</v>
      </c>
      <c r="H21" s="2">
        <f>IF(Maindeck[[#This Row],[How many I already got]]=0,Maindeck[[#This Row],[Price per Card]]*Maindeck[[#This Row],[No'#]],Maindeck[[#This Row],[How many I still need]]*Maindeck[[#This Row],[Price per Card]])</f>
        <v>0</v>
      </c>
      <c r="I21" s="2"/>
      <c r="J21" s="2"/>
    </row>
    <row r="22" spans="2:16" x14ac:dyDescent="0.35">
      <c r="B22" s="19">
        <v>1</v>
      </c>
      <c r="C22" s="19" t="s">
        <v>18</v>
      </c>
      <c r="D22" s="19" t="s">
        <v>34</v>
      </c>
      <c r="E22" s="19">
        <v>0</v>
      </c>
      <c r="F22" s="2">
        <v>5</v>
      </c>
      <c r="G22">
        <f>Maindeck[[#This Row],[No'#]]-Maindeck[[#This Row],[How many I already got]]</f>
        <v>1</v>
      </c>
      <c r="H22" s="2">
        <f>IF(Maindeck[[#This Row],[How many I already got]]=0,Maindeck[[#This Row],[Price per Card]]*Maindeck[[#This Row],[No'#]],Maindeck[[#This Row],[How many I still need]]*Maindeck[[#This Row],[Price per Card]])</f>
        <v>5</v>
      </c>
      <c r="I22" s="2"/>
      <c r="J22" s="2"/>
    </row>
    <row r="23" spans="2:16" x14ac:dyDescent="0.35">
      <c r="B23" s="19">
        <v>4</v>
      </c>
      <c r="C23" s="19" t="s">
        <v>19</v>
      </c>
      <c r="D23" s="19" t="s">
        <v>36</v>
      </c>
      <c r="E23" s="19">
        <v>4</v>
      </c>
      <c r="F23" s="2">
        <v>3.85</v>
      </c>
      <c r="G23">
        <f>Maindeck[[#This Row],[No'#]]-Maindeck[[#This Row],[How many I already got]]</f>
        <v>0</v>
      </c>
      <c r="H23" s="2">
        <f>IF(Maindeck[[#This Row],[How many I already got]]=0,Maindeck[[#This Row],[Price per Card]]*Maindeck[[#This Row],[No'#]],Maindeck[[#This Row],[How many I still need]]*Maindeck[[#This Row],[Price per Card]])</f>
        <v>0</v>
      </c>
      <c r="I23" s="2"/>
      <c r="J23" s="2"/>
    </row>
    <row r="24" spans="2:16" x14ac:dyDescent="0.35">
      <c r="B24" s="19">
        <v>4</v>
      </c>
      <c r="C24" s="19" t="s">
        <v>20</v>
      </c>
      <c r="D24" s="19" t="s">
        <v>36</v>
      </c>
      <c r="E24" s="19">
        <v>4</v>
      </c>
      <c r="F24" s="2">
        <v>4.2</v>
      </c>
      <c r="G24">
        <f>Maindeck[[#This Row],[No'#]]-Maindeck[[#This Row],[How many I already got]]</f>
        <v>0</v>
      </c>
      <c r="H24" s="2">
        <f>IF(Maindeck[[#This Row],[How many I already got]]=0,Maindeck[[#This Row],[Price per Card]]*Maindeck[[#This Row],[No'#]],Maindeck[[#This Row],[How many I still need]]*Maindeck[[#This Row],[Price per Card]])</f>
        <v>0</v>
      </c>
      <c r="I24" s="2"/>
      <c r="J24" s="2"/>
    </row>
    <row r="25" spans="2:16" x14ac:dyDescent="0.35">
      <c r="B25" s="19">
        <v>2</v>
      </c>
      <c r="C25" s="19" t="s">
        <v>21</v>
      </c>
      <c r="D25" s="19" t="s">
        <v>37</v>
      </c>
      <c r="E25" s="19">
        <v>2</v>
      </c>
      <c r="F25" s="2">
        <v>0.05</v>
      </c>
      <c r="G25">
        <f>Maindeck[[#This Row],[No'#]]-Maindeck[[#This Row],[How many I already got]]</f>
        <v>0</v>
      </c>
      <c r="H25" s="2">
        <f>IF(Maindeck[[#This Row],[How many I already got]]=0,Maindeck[[#This Row],[Price per Card]]*Maindeck[[#This Row],[No'#]],Maindeck[[#This Row],[How many I still need]]*Maindeck[[#This Row],[Price per Card]])</f>
        <v>0</v>
      </c>
      <c r="I25" s="2"/>
      <c r="J25" s="2"/>
    </row>
    <row r="26" spans="2:16" x14ac:dyDescent="0.35">
      <c r="B26" s="19">
        <v>1</v>
      </c>
      <c r="C26" s="19" t="s">
        <v>22</v>
      </c>
      <c r="D26" s="19" t="s">
        <v>34</v>
      </c>
      <c r="E26" s="19">
        <v>0</v>
      </c>
      <c r="F26" s="2">
        <v>5</v>
      </c>
      <c r="G26">
        <f>Maindeck[[#This Row],[No'#]]-Maindeck[[#This Row],[How many I already got]]</f>
        <v>1</v>
      </c>
      <c r="H26" s="2">
        <f>IF(Maindeck[[#This Row],[How many I already got]]=0,Maindeck[[#This Row],[Price per Card]]*Maindeck[[#This Row],[No'#]],Maindeck[[#This Row],[How many I still need]]*Maindeck[[#This Row],[Price per Card]])</f>
        <v>5</v>
      </c>
      <c r="I26" s="2"/>
      <c r="J26" s="2"/>
    </row>
    <row r="27" spans="2:16" x14ac:dyDescent="0.35">
      <c r="B27" s="19">
        <v>3</v>
      </c>
      <c r="C27" s="19" t="s">
        <v>23</v>
      </c>
      <c r="D27" s="19" t="s">
        <v>34</v>
      </c>
      <c r="E27" s="19">
        <v>3</v>
      </c>
      <c r="F27" s="2">
        <v>4.25</v>
      </c>
      <c r="G27">
        <f>Maindeck[[#This Row],[No'#]]-Maindeck[[#This Row],[How many I already got]]</f>
        <v>0</v>
      </c>
      <c r="H27" s="2">
        <f>IF(Maindeck[[#This Row],[How many I already got]]=0,Maindeck[[#This Row],[Price per Card]]*Maindeck[[#This Row],[No'#]],Maindeck[[#This Row],[How many I still need]]*Maindeck[[#This Row],[Price per Card]])</f>
        <v>0</v>
      </c>
      <c r="I27" s="2"/>
      <c r="J27" s="2"/>
    </row>
    <row r="28" spans="2:16" ht="18.5" x14ac:dyDescent="0.45">
      <c r="B28" s="1" t="s">
        <v>39</v>
      </c>
    </row>
    <row r="29" spans="2:16" x14ac:dyDescent="0.35">
      <c r="B29" t="s">
        <v>41</v>
      </c>
      <c r="C29" t="s">
        <v>31</v>
      </c>
      <c r="D29" t="s">
        <v>33</v>
      </c>
      <c r="E29" t="s">
        <v>50</v>
      </c>
      <c r="F29" t="s">
        <v>42</v>
      </c>
      <c r="G29" t="s">
        <v>51</v>
      </c>
      <c r="H29" t="s">
        <v>43</v>
      </c>
      <c r="I29" t="s">
        <v>53</v>
      </c>
    </row>
    <row r="30" spans="2:16" x14ac:dyDescent="0.35">
      <c r="B30" s="19">
        <v>2</v>
      </c>
      <c r="C30" s="19" t="s">
        <v>24</v>
      </c>
      <c r="D30" s="19" t="s">
        <v>35</v>
      </c>
      <c r="E30" s="19">
        <v>0</v>
      </c>
      <c r="F30" s="2">
        <v>0.12</v>
      </c>
      <c r="G30">
        <f>Sideboard[[#This Row],[No'#]]-Sideboard[[#This Row],[How many I already got]]</f>
        <v>2</v>
      </c>
      <c r="H30" s="2">
        <f>IF(Sideboard[[#This Row],[How many I already got]]=0,Sideboard[[#This Row],[Price per Card]]*Sideboard[[#This Row],[No'#]],Sideboard[[#This Row],[How many I still need]]*Sideboard[[#This Row],[Price per Card]])</f>
        <v>0.24</v>
      </c>
      <c r="I30" s="2"/>
      <c r="J30" s="2"/>
    </row>
    <row r="31" spans="2:16" x14ac:dyDescent="0.35">
      <c r="B31" s="19">
        <v>2</v>
      </c>
      <c r="C31" s="19" t="s">
        <v>25</v>
      </c>
      <c r="D31" s="19" t="s">
        <v>38</v>
      </c>
      <c r="E31" s="19">
        <v>0</v>
      </c>
      <c r="F31" s="2">
        <v>22</v>
      </c>
      <c r="G31">
        <f>Sideboard[[#This Row],[No'#]]-Sideboard[[#This Row],[How many I already got]]</f>
        <v>2</v>
      </c>
      <c r="H31" s="2">
        <f>IF(Sideboard[[#This Row],[How many I already got]]=0,Sideboard[[#This Row],[Price per Card]]*Sideboard[[#This Row],[No'#]],Sideboard[[#This Row],[How many I still need]]*Sideboard[[#This Row],[Price per Card]])</f>
        <v>44</v>
      </c>
      <c r="I31" s="2"/>
      <c r="J31" s="2"/>
    </row>
    <row r="32" spans="2:16" x14ac:dyDescent="0.35">
      <c r="B32" s="19">
        <v>1</v>
      </c>
      <c r="C32" s="19" t="s">
        <v>14</v>
      </c>
      <c r="D32" s="19" t="s">
        <v>35</v>
      </c>
      <c r="E32" s="19">
        <v>0</v>
      </c>
      <c r="F32" s="2">
        <v>5</v>
      </c>
      <c r="G32">
        <f>Sideboard[[#This Row],[No'#]]-Sideboard[[#This Row],[How many I already got]]</f>
        <v>1</v>
      </c>
      <c r="H32" s="2">
        <f>IF(Sideboard[[#This Row],[How many I already got]]=0,Sideboard[[#This Row],[Price per Card]]*Sideboard[[#This Row],[No'#]],Sideboard[[#This Row],[How many I still need]]*Sideboard[[#This Row],[Price per Card]])</f>
        <v>5</v>
      </c>
      <c r="I32" s="2"/>
      <c r="J32" s="2"/>
      <c r="K32" s="2"/>
      <c r="L32" s="2"/>
    </row>
    <row r="33" spans="2:12" x14ac:dyDescent="0.35">
      <c r="B33" s="19">
        <v>2</v>
      </c>
      <c r="C33" s="19" t="s">
        <v>26</v>
      </c>
      <c r="D33" s="19" t="s">
        <v>36</v>
      </c>
      <c r="E33" s="19">
        <v>0</v>
      </c>
      <c r="F33" s="2">
        <v>0.49</v>
      </c>
      <c r="G33">
        <f>Sideboard[[#This Row],[No'#]]-Sideboard[[#This Row],[How many I already got]]</f>
        <v>2</v>
      </c>
      <c r="H33" s="2">
        <f>IF(Sideboard[[#This Row],[How many I already got]]=0,Sideboard[[#This Row],[Price per Card]]*Sideboard[[#This Row],[No'#]],Sideboard[[#This Row],[How many I still need]]*Sideboard[[#This Row],[Price per Card]])</f>
        <v>0.98</v>
      </c>
      <c r="I33" s="2"/>
      <c r="J33" s="2"/>
      <c r="K33" s="2"/>
      <c r="L33" s="2"/>
    </row>
    <row r="34" spans="2:12" x14ac:dyDescent="0.35">
      <c r="B34" s="19">
        <v>3</v>
      </c>
      <c r="C34" s="19" t="s">
        <v>27</v>
      </c>
      <c r="D34" s="19" t="s">
        <v>37</v>
      </c>
      <c r="E34" s="19">
        <v>1</v>
      </c>
      <c r="F34" s="2">
        <v>3.9</v>
      </c>
      <c r="G34">
        <f>Sideboard[[#This Row],[No'#]]-Sideboard[[#This Row],[How many I already got]]</f>
        <v>2</v>
      </c>
      <c r="H34" s="2">
        <f>IF(Sideboard[[#This Row],[How many I already got]]=0,Sideboard[[#This Row],[Price per Card]]*Sideboard[[#This Row],[No'#]],Sideboard[[#This Row],[How many I still need]]*Sideboard[[#This Row],[Price per Card]])</f>
        <v>7.8</v>
      </c>
      <c r="I34" s="2"/>
      <c r="J34" s="2"/>
      <c r="K34" s="2"/>
      <c r="L34" s="2"/>
    </row>
    <row r="35" spans="2:12" x14ac:dyDescent="0.35">
      <c r="B35" s="19">
        <v>1</v>
      </c>
      <c r="C35" s="19" t="s">
        <v>28</v>
      </c>
      <c r="D35" s="19" t="s">
        <v>36</v>
      </c>
      <c r="E35" s="19">
        <v>0</v>
      </c>
      <c r="F35" s="2">
        <v>0.02</v>
      </c>
      <c r="G35">
        <f>Sideboard[[#This Row],[No'#]]-Sideboard[[#This Row],[How many I already got]]</f>
        <v>1</v>
      </c>
      <c r="H35" s="2">
        <f>IF(Sideboard[[#This Row],[How many I already got]]=0,Sideboard[[#This Row],[Price per Card]]*Sideboard[[#This Row],[No'#]],Sideboard[[#This Row],[How many I still need]]*Sideboard[[#This Row],[Price per Card]])</f>
        <v>0.02</v>
      </c>
      <c r="I35" s="2"/>
      <c r="J35" s="2"/>
      <c r="K35" s="2"/>
      <c r="L35" s="2"/>
    </row>
    <row r="36" spans="2:12" x14ac:dyDescent="0.35">
      <c r="B36" s="19">
        <v>1</v>
      </c>
      <c r="C36" s="19" t="s">
        <v>29</v>
      </c>
      <c r="D36" s="19" t="s">
        <v>36</v>
      </c>
      <c r="E36" s="19">
        <v>0</v>
      </c>
      <c r="F36" s="2">
        <v>17</v>
      </c>
      <c r="G36">
        <f>Sideboard[[#This Row],[No'#]]-Sideboard[[#This Row],[How many I already got]]</f>
        <v>1</v>
      </c>
      <c r="H36" s="2">
        <f>IF(Sideboard[[#This Row],[How many I already got]]=0,Sideboard[[#This Row],[Price per Card]]*Sideboard[[#This Row],[No'#]],Sideboard[[#This Row],[How many I still need]]*Sideboard[[#This Row],[Price per Card]])</f>
        <v>17</v>
      </c>
      <c r="I36" s="2"/>
      <c r="J36" s="2"/>
      <c r="K36" s="2"/>
      <c r="L36" s="2"/>
    </row>
    <row r="37" spans="2:12" x14ac:dyDescent="0.35">
      <c r="B37" s="19">
        <v>3</v>
      </c>
      <c r="C37" s="19" t="s">
        <v>30</v>
      </c>
      <c r="D37" s="19" t="s">
        <v>37</v>
      </c>
      <c r="E37" s="19">
        <v>0</v>
      </c>
      <c r="F37" s="2">
        <v>5.8</v>
      </c>
      <c r="G37">
        <f>Sideboard[[#This Row],[No'#]]-Sideboard[[#This Row],[How many I already got]]</f>
        <v>3</v>
      </c>
      <c r="H37" s="2">
        <f>IF(Sideboard[[#This Row],[How many I already got]]=0,Sideboard[[#This Row],[Price per Card]]*Sideboard[[#This Row],[No'#]],Sideboard[[#This Row],[How many I still need]]*Sideboard[[#This Row],[Price per Card]])</f>
        <v>17.399999999999999</v>
      </c>
      <c r="I37" s="2"/>
      <c r="J37" s="2"/>
      <c r="K37" s="2"/>
      <c r="L37" s="2"/>
    </row>
    <row r="38" spans="2:12" x14ac:dyDescent="0.35">
      <c r="K38" s="2"/>
      <c r="L38" s="2"/>
    </row>
    <row r="39" spans="2:12" x14ac:dyDescent="0.35">
      <c r="K39" s="2"/>
      <c r="L39" s="2"/>
    </row>
  </sheetData>
  <pageMargins left="0.70866141732283472" right="0.70866141732283472" top="0.74803149606299213" bottom="0.74803149606299213" header="0.31496062992125984" footer="0.31496062992125984"/>
  <pageSetup paperSize="9" scale="70" orientation="landscape" r:id="rId1"/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CalculateMKMPrices">
                <anchor>
                  <from>
                    <xdr:col>10</xdr:col>
                    <xdr:colOff>336550</xdr:colOff>
                    <xdr:row>9</xdr:row>
                    <xdr:rowOff>50800</xdr:rowOff>
                  </from>
                  <to>
                    <xdr:col>13</xdr:col>
                    <xdr:colOff>152400</xdr:colOff>
                    <xdr:row>10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Option Button 2">
              <controlPr defaultSize="0" autoFill="0" autoLine="0" autoPict="0" macro="[0]!OptionButton2_Click">
                <anchor moveWithCells="1">
                  <from>
                    <xdr:col>10</xdr:col>
                    <xdr:colOff>323850</xdr:colOff>
                    <xdr:row>4</xdr:row>
                    <xdr:rowOff>95250</xdr:rowOff>
                  </from>
                  <to>
                    <xdr:col>13</xdr:col>
                    <xdr:colOff>374650</xdr:colOff>
                    <xdr:row>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7" name="Option Button 3">
              <controlPr defaultSize="0" autoFill="0" autoLine="0" autoPict="0" macro="[0]!OptionButton3_Click">
                <anchor moveWithCells="1">
                  <from>
                    <xdr:col>10</xdr:col>
                    <xdr:colOff>317500</xdr:colOff>
                    <xdr:row>5</xdr:row>
                    <xdr:rowOff>107950</xdr:rowOff>
                  </from>
                  <to>
                    <xdr:col>13</xdr:col>
                    <xdr:colOff>368300</xdr:colOff>
                    <xdr:row>7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8" name="Option Button 4">
              <controlPr defaultSize="0" autoFill="0" autoLine="0" autoPict="0" macro="[0]!OptionButton4_Click">
                <anchor moveWithCells="1">
                  <from>
                    <xdr:col>10</xdr:col>
                    <xdr:colOff>317500</xdr:colOff>
                    <xdr:row>6</xdr:row>
                    <xdr:rowOff>95250</xdr:rowOff>
                  </from>
                  <to>
                    <xdr:col>13</xdr:col>
                    <xdr:colOff>368300</xdr:colOff>
                    <xdr:row>8</xdr:row>
                    <xdr:rowOff>12700</xdr:rowOff>
                  </to>
                </anchor>
              </controlPr>
            </control>
          </mc:Choice>
        </mc:AlternateContent>
      </controls>
    </mc:Choice>
  </mc:AlternateContent>
  <tableParts count="2">
    <tablePart r:id="rId9"/>
    <tablePart r:id="rId10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F56"/>
  <sheetViews>
    <sheetView showGridLines="0" showRowColHeaders="0" zoomScale="80" zoomScaleNormal="80" workbookViewId="0"/>
  </sheetViews>
  <sheetFormatPr defaultRowHeight="14.5" x14ac:dyDescent="0.35"/>
  <cols>
    <col min="1" max="1" width="2.54296875" customWidth="1"/>
    <col min="2" max="2" width="23.90625" customWidth="1"/>
    <col min="3" max="3" width="16.7265625" customWidth="1"/>
    <col min="4" max="4" width="11.26953125" customWidth="1"/>
    <col min="5" max="5" width="23.453125" customWidth="1"/>
    <col min="6" max="6" width="16.7265625" customWidth="1"/>
    <col min="7" max="7" width="26.36328125" bestFit="1" customWidth="1"/>
  </cols>
  <sheetData>
    <row r="2" spans="2:6" ht="18.5" x14ac:dyDescent="0.45">
      <c r="B2" s="1" t="s">
        <v>40</v>
      </c>
      <c r="E2" s="1" t="s">
        <v>39</v>
      </c>
    </row>
    <row r="3" spans="2:6" x14ac:dyDescent="0.35">
      <c r="B3" s="3" t="s">
        <v>47</v>
      </c>
      <c r="C3" t="s">
        <v>52</v>
      </c>
      <c r="E3" s="3" t="s">
        <v>47</v>
      </c>
      <c r="F3" t="s">
        <v>52</v>
      </c>
    </row>
    <row r="4" spans="2:6" x14ac:dyDescent="0.35">
      <c r="B4" s="4" t="s">
        <v>36</v>
      </c>
      <c r="C4" s="18">
        <v>112.64</v>
      </c>
      <c r="E4" s="4" t="s">
        <v>38</v>
      </c>
      <c r="F4" s="18">
        <v>44</v>
      </c>
    </row>
    <row r="5" spans="2:6" x14ac:dyDescent="0.35">
      <c r="B5" s="16" t="s">
        <v>4</v>
      </c>
      <c r="C5" s="18">
        <v>0.3</v>
      </c>
      <c r="E5" s="16" t="s">
        <v>25</v>
      </c>
      <c r="F5" s="18">
        <v>44</v>
      </c>
    </row>
    <row r="6" spans="2:6" x14ac:dyDescent="0.35">
      <c r="B6" s="17">
        <v>2</v>
      </c>
      <c r="C6" s="18">
        <v>0.3</v>
      </c>
      <c r="E6" s="17">
        <v>2</v>
      </c>
      <c r="F6" s="18">
        <v>44</v>
      </c>
    </row>
    <row r="7" spans="2:6" x14ac:dyDescent="0.35">
      <c r="B7" s="16" t="s">
        <v>8</v>
      </c>
      <c r="C7" s="18">
        <v>3.85</v>
      </c>
      <c r="E7" s="4" t="s">
        <v>36</v>
      </c>
      <c r="F7" s="18">
        <v>18</v>
      </c>
    </row>
    <row r="8" spans="2:6" x14ac:dyDescent="0.35">
      <c r="B8" s="17">
        <v>1</v>
      </c>
      <c r="C8" s="18">
        <v>3.85</v>
      </c>
      <c r="E8" s="16" t="s">
        <v>26</v>
      </c>
      <c r="F8" s="18">
        <v>0.98</v>
      </c>
    </row>
    <row r="9" spans="2:6" x14ac:dyDescent="0.35">
      <c r="B9" s="16" t="s">
        <v>11</v>
      </c>
      <c r="C9" s="18">
        <v>0</v>
      </c>
      <c r="E9" s="17">
        <v>2</v>
      </c>
      <c r="F9" s="18">
        <v>0.98</v>
      </c>
    </row>
    <row r="10" spans="2:6" x14ac:dyDescent="0.35">
      <c r="B10" s="17">
        <v>0</v>
      </c>
      <c r="C10" s="18">
        <v>0</v>
      </c>
      <c r="E10" s="16" t="s">
        <v>28</v>
      </c>
      <c r="F10" s="18">
        <v>0.02</v>
      </c>
    </row>
    <row r="11" spans="2:6" x14ac:dyDescent="0.35">
      <c r="B11" s="16" t="s">
        <v>13</v>
      </c>
      <c r="C11" s="18">
        <v>103.5</v>
      </c>
      <c r="E11" s="17">
        <v>1</v>
      </c>
      <c r="F11" s="18">
        <v>0.02</v>
      </c>
    </row>
    <row r="12" spans="2:6" x14ac:dyDescent="0.35">
      <c r="B12" s="17">
        <v>3</v>
      </c>
      <c r="C12" s="18">
        <v>103.5</v>
      </c>
      <c r="E12" s="16" t="s">
        <v>29</v>
      </c>
      <c r="F12" s="18">
        <v>17</v>
      </c>
    </row>
    <row r="13" spans="2:6" x14ac:dyDescent="0.35">
      <c r="B13" s="16" t="s">
        <v>15</v>
      </c>
      <c r="C13" s="18">
        <v>4.99</v>
      </c>
      <c r="E13" s="17">
        <v>1</v>
      </c>
      <c r="F13" s="18">
        <v>17</v>
      </c>
    </row>
    <row r="14" spans="2:6" x14ac:dyDescent="0.35">
      <c r="B14" s="17">
        <v>1</v>
      </c>
      <c r="C14" s="18">
        <v>4.99</v>
      </c>
      <c r="E14" s="4" t="s">
        <v>37</v>
      </c>
      <c r="F14" s="18">
        <v>25.2</v>
      </c>
    </row>
    <row r="15" spans="2:6" x14ac:dyDescent="0.35">
      <c r="B15" s="16" t="s">
        <v>17</v>
      </c>
      <c r="C15" s="18">
        <v>0</v>
      </c>
      <c r="E15" s="16" t="s">
        <v>27</v>
      </c>
      <c r="F15" s="18">
        <v>7.8</v>
      </c>
    </row>
    <row r="16" spans="2:6" x14ac:dyDescent="0.35">
      <c r="B16" s="17">
        <v>0</v>
      </c>
      <c r="C16" s="18">
        <v>0</v>
      </c>
      <c r="E16" s="17">
        <v>2</v>
      </c>
      <c r="F16" s="18">
        <v>7.8</v>
      </c>
    </row>
    <row r="17" spans="2:6" x14ac:dyDescent="0.35">
      <c r="B17" s="16" t="s">
        <v>19</v>
      </c>
      <c r="C17" s="18">
        <v>0</v>
      </c>
      <c r="E17" s="16" t="s">
        <v>30</v>
      </c>
      <c r="F17" s="18">
        <v>17.399999999999999</v>
      </c>
    </row>
    <row r="18" spans="2:6" x14ac:dyDescent="0.35">
      <c r="B18" s="17">
        <v>0</v>
      </c>
      <c r="C18" s="18">
        <v>0</v>
      </c>
      <c r="E18" s="17">
        <v>3</v>
      </c>
      <c r="F18" s="18">
        <v>17.399999999999999</v>
      </c>
    </row>
    <row r="19" spans="2:6" x14ac:dyDescent="0.35">
      <c r="B19" s="16" t="s">
        <v>20</v>
      </c>
      <c r="C19" s="18">
        <v>0</v>
      </c>
      <c r="E19" s="4" t="s">
        <v>35</v>
      </c>
      <c r="F19" s="18">
        <v>5.24</v>
      </c>
    </row>
    <row r="20" spans="2:6" x14ac:dyDescent="0.35">
      <c r="B20" s="17">
        <v>0</v>
      </c>
      <c r="C20" s="18">
        <v>0</v>
      </c>
      <c r="E20" s="16" t="s">
        <v>24</v>
      </c>
      <c r="F20" s="18">
        <v>0.24</v>
      </c>
    </row>
    <row r="21" spans="2:6" x14ac:dyDescent="0.35">
      <c r="B21" s="4" t="s">
        <v>37</v>
      </c>
      <c r="C21" s="18">
        <v>0</v>
      </c>
      <c r="E21" s="17">
        <v>2</v>
      </c>
      <c r="F21" s="18">
        <v>0.24</v>
      </c>
    </row>
    <row r="22" spans="2:6" x14ac:dyDescent="0.35">
      <c r="B22" s="16" t="s">
        <v>21</v>
      </c>
      <c r="C22" s="18">
        <v>0</v>
      </c>
      <c r="E22" s="16" t="s">
        <v>14</v>
      </c>
      <c r="F22" s="18">
        <v>5</v>
      </c>
    </row>
    <row r="23" spans="2:6" x14ac:dyDescent="0.35">
      <c r="B23" s="17">
        <v>0</v>
      </c>
      <c r="C23" s="18">
        <v>0</v>
      </c>
      <c r="E23" s="17">
        <v>1</v>
      </c>
      <c r="F23" s="18">
        <v>5</v>
      </c>
    </row>
    <row r="24" spans="2:6" x14ac:dyDescent="0.35">
      <c r="B24" s="4" t="s">
        <v>35</v>
      </c>
      <c r="C24" s="18">
        <v>0</v>
      </c>
      <c r="E24" s="4" t="s">
        <v>48</v>
      </c>
      <c r="F24" s="18">
        <v>92.439999999999984</v>
      </c>
    </row>
    <row r="25" spans="2:6" x14ac:dyDescent="0.35">
      <c r="B25" s="16" t="s">
        <v>3</v>
      </c>
      <c r="C25" s="18">
        <v>0</v>
      </c>
    </row>
    <row r="26" spans="2:6" x14ac:dyDescent="0.35">
      <c r="B26" s="17">
        <v>0</v>
      </c>
      <c r="C26" s="18">
        <v>0</v>
      </c>
    </row>
    <row r="27" spans="2:6" x14ac:dyDescent="0.35">
      <c r="B27" s="16" t="s">
        <v>14</v>
      </c>
      <c r="C27" s="18">
        <v>0</v>
      </c>
    </row>
    <row r="28" spans="2:6" x14ac:dyDescent="0.35">
      <c r="B28" s="17">
        <v>0</v>
      </c>
      <c r="C28" s="18">
        <v>0</v>
      </c>
    </row>
    <row r="29" spans="2:6" x14ac:dyDescent="0.35">
      <c r="B29" s="4" t="s">
        <v>34</v>
      </c>
      <c r="C29" s="18">
        <v>166.63</v>
      </c>
    </row>
    <row r="30" spans="2:6" x14ac:dyDescent="0.35">
      <c r="B30" s="16" t="s">
        <v>0</v>
      </c>
      <c r="C30" s="18">
        <v>4.4000000000000004</v>
      </c>
    </row>
    <row r="31" spans="2:6" x14ac:dyDescent="0.35">
      <c r="B31" s="17">
        <v>2</v>
      </c>
      <c r="C31" s="18">
        <v>4.4000000000000004</v>
      </c>
    </row>
    <row r="32" spans="2:6" x14ac:dyDescent="0.35">
      <c r="B32" s="16" t="s">
        <v>1</v>
      </c>
      <c r="C32" s="18">
        <v>8.99</v>
      </c>
    </row>
    <row r="33" spans="2:3" x14ac:dyDescent="0.35">
      <c r="B33" s="17">
        <v>1</v>
      </c>
      <c r="C33" s="18">
        <v>8.99</v>
      </c>
    </row>
    <row r="34" spans="2:3" x14ac:dyDescent="0.35">
      <c r="B34" s="16" t="s">
        <v>2</v>
      </c>
      <c r="C34" s="18">
        <v>41.5</v>
      </c>
    </row>
    <row r="35" spans="2:3" x14ac:dyDescent="0.35">
      <c r="B35" s="17">
        <v>1</v>
      </c>
      <c r="C35" s="18">
        <v>41.5</v>
      </c>
    </row>
    <row r="36" spans="2:3" x14ac:dyDescent="0.35">
      <c r="B36" s="16" t="s">
        <v>5</v>
      </c>
      <c r="C36" s="18">
        <v>13.56</v>
      </c>
    </row>
    <row r="37" spans="2:3" x14ac:dyDescent="0.35">
      <c r="B37" s="17">
        <v>4</v>
      </c>
      <c r="C37" s="18">
        <v>13.56</v>
      </c>
    </row>
    <row r="38" spans="2:3" x14ac:dyDescent="0.35">
      <c r="B38" s="16" t="s">
        <v>6</v>
      </c>
      <c r="C38" s="18">
        <v>0</v>
      </c>
    </row>
    <row r="39" spans="2:3" x14ac:dyDescent="0.35">
      <c r="B39" s="17">
        <v>0</v>
      </c>
      <c r="C39" s="18">
        <v>0</v>
      </c>
    </row>
    <row r="40" spans="2:3" x14ac:dyDescent="0.35">
      <c r="B40" s="16" t="s">
        <v>7</v>
      </c>
      <c r="C40" s="18">
        <v>2.98</v>
      </c>
    </row>
    <row r="41" spans="2:3" x14ac:dyDescent="0.35">
      <c r="B41" s="17">
        <v>1</v>
      </c>
      <c r="C41" s="18">
        <v>2.98</v>
      </c>
    </row>
    <row r="42" spans="2:3" x14ac:dyDescent="0.35">
      <c r="B42" s="16" t="s">
        <v>9</v>
      </c>
      <c r="C42" s="18">
        <v>0</v>
      </c>
    </row>
    <row r="43" spans="2:3" x14ac:dyDescent="0.35">
      <c r="B43" s="17">
        <v>0</v>
      </c>
      <c r="C43" s="18">
        <v>0</v>
      </c>
    </row>
    <row r="44" spans="2:3" x14ac:dyDescent="0.35">
      <c r="B44" s="16" t="s">
        <v>10</v>
      </c>
      <c r="C44" s="18">
        <v>0</v>
      </c>
    </row>
    <row r="45" spans="2:3" x14ac:dyDescent="0.35">
      <c r="B45" s="17">
        <v>0</v>
      </c>
      <c r="C45" s="18">
        <v>0</v>
      </c>
    </row>
    <row r="46" spans="2:3" x14ac:dyDescent="0.35">
      <c r="B46" s="16" t="s">
        <v>12</v>
      </c>
      <c r="C46" s="18">
        <v>85.199999999999989</v>
      </c>
    </row>
    <row r="47" spans="2:3" x14ac:dyDescent="0.35">
      <c r="B47" s="17">
        <v>3</v>
      </c>
      <c r="C47" s="18">
        <v>85.199999999999989</v>
      </c>
    </row>
    <row r="48" spans="2:3" x14ac:dyDescent="0.35">
      <c r="B48" s="16" t="s">
        <v>16</v>
      </c>
      <c r="C48" s="18">
        <v>0</v>
      </c>
    </row>
    <row r="49" spans="2:3" x14ac:dyDescent="0.35">
      <c r="B49" s="17">
        <v>0</v>
      </c>
      <c r="C49" s="18">
        <v>0</v>
      </c>
    </row>
    <row r="50" spans="2:3" x14ac:dyDescent="0.35">
      <c r="B50" s="16" t="s">
        <v>18</v>
      </c>
      <c r="C50" s="18">
        <v>5</v>
      </c>
    </row>
    <row r="51" spans="2:3" x14ac:dyDescent="0.35">
      <c r="B51" s="17">
        <v>1</v>
      </c>
      <c r="C51" s="18">
        <v>5</v>
      </c>
    </row>
    <row r="52" spans="2:3" x14ac:dyDescent="0.35">
      <c r="B52" s="16" t="s">
        <v>22</v>
      </c>
      <c r="C52" s="18">
        <v>5</v>
      </c>
    </row>
    <row r="53" spans="2:3" x14ac:dyDescent="0.35">
      <c r="B53" s="17">
        <v>1</v>
      </c>
      <c r="C53" s="18">
        <v>5</v>
      </c>
    </row>
    <row r="54" spans="2:3" x14ac:dyDescent="0.35">
      <c r="B54" s="16" t="s">
        <v>23</v>
      </c>
      <c r="C54" s="18">
        <v>0</v>
      </c>
    </row>
    <row r="55" spans="2:3" x14ac:dyDescent="0.35">
      <c r="B55" s="17">
        <v>0</v>
      </c>
      <c r="C55" s="18">
        <v>0</v>
      </c>
    </row>
    <row r="56" spans="2:3" x14ac:dyDescent="0.35">
      <c r="B56" s="4" t="s">
        <v>48</v>
      </c>
      <c r="C56" s="18">
        <v>279.27</v>
      </c>
    </row>
  </sheetData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0]!RefreshPivot">
                <anchor moveWithCells="1" sizeWithCells="1">
                  <from>
                    <xdr:col>6</xdr:col>
                    <xdr:colOff>749300</xdr:colOff>
                    <xdr:row>2</xdr:row>
                    <xdr:rowOff>6350</xdr:rowOff>
                  </from>
                  <to>
                    <xdr:col>7</xdr:col>
                    <xdr:colOff>241300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Deck List</vt:lpstr>
      <vt:lpstr>Cost Overview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xyra</dc:creator>
  <cp:lastModifiedBy>xyra</cp:lastModifiedBy>
  <cp:lastPrinted>2017-01-29T18:38:11Z</cp:lastPrinted>
  <dcterms:created xsi:type="dcterms:W3CDTF">2017-01-29T15:34:30Z</dcterms:created>
  <dcterms:modified xsi:type="dcterms:W3CDTF">2017-01-31T16:41:02Z</dcterms:modified>
</cp:coreProperties>
</file>